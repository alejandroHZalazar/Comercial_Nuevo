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Hoja1" sheetId="1" r:id="rId1"/>
    <sheet name="Hoja2" sheetId="2" r:id="rId2"/>
    <sheet name="Hoja3" sheetId="3" r:id="rId3"/>
  </sheets>
  <definedNames>
    <definedName name="barr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<sst xmlns="http://schemas.openxmlformats.org/spreadsheetml/2006/main" count="97" uniqueCount="97">
  <si>
    <t>Cod_Proveedor</t>
  </si>
  <si>
    <t>Cod_Barras</t>
  </si>
  <si>
    <t>Descripcion</t>
  </si>
  <si>
    <t>Rubro</t>
  </si>
  <si>
    <t>IVA</t>
  </si>
  <si>
    <t>Proveedor</t>
  </si>
  <si>
    <t>P.Proveedor</t>
  </si>
  <si>
    <t>P.Costo</t>
  </si>
  <si>
    <t>P.Lista</t>
  </si>
  <si>
    <t>Stock</t>
  </si>
  <si>
    <t>Cant Minima</t>
  </si>
  <si>
    <t>SISTEMA BRAZILERO ANODIZADO</t>
  </si>
  <si>
    <t>SISTEMA BRAZILERO       NEGRO</t>
  </si>
  <si>
    <t>SISTEMA BRAZILERO X 2.00 MTR.</t>
  </si>
  <si>
    <t>U DE 10 X 25</t>
  </si>
  <si>
    <t>U DE 10X 40</t>
  </si>
  <si>
    <t>PUERTA PLACA ECONOMICAS</t>
  </si>
  <si>
    <t>IM3051</t>
  </si>
  <si>
    <t>Medio Manijon 500mm</t>
  </si>
  <si>
    <t>IM3055</t>
  </si>
  <si>
    <t>Medio Manijon 1200mm</t>
  </si>
  <si>
    <t>IM3060</t>
  </si>
  <si>
    <t>Medio Manijon 400mm Negro</t>
  </si>
  <si>
    <t>IM3065</t>
  </si>
  <si>
    <t>Medio Manijon 1200mm Negro</t>
  </si>
  <si>
    <t>IM3008</t>
  </si>
  <si>
    <t>Manijon H - L:300 EC:200mmBrillante- SS201</t>
  </si>
  <si>
    <t>IM91</t>
  </si>
  <si>
    <t>AccesorioPuerta Madera100 Kg</t>
  </si>
  <si>
    <t>IM98</t>
  </si>
  <si>
    <t>Pivot Loco a Piso</t>
  </si>
  <si>
    <t>IM7001</t>
  </si>
  <si>
    <t>Tirador de Aluminio Cromado</t>
  </si>
  <si>
    <t>IM7005</t>
  </si>
  <si>
    <t>Tirador de Aluminio Negro</t>
  </si>
  <si>
    <t>IM4008</t>
  </si>
  <si>
    <t>Bisagra Pared Vidrio - ZamakCromado - Con Bisel</t>
  </si>
  <si>
    <t>IM4008-B</t>
  </si>
  <si>
    <t>Bisagra Pared Vidrio ZamakINOMAX Crom. Desplaz</t>
  </si>
  <si>
    <t>IM9001-B</t>
  </si>
  <si>
    <t>Burlete c/batientea 90  2,20m10 mm</t>
  </si>
  <si>
    <t>P-01</t>
  </si>
  <si>
    <t>ZÓCALO PARA FRENO CON VUELOINOMAX</t>
  </si>
  <si>
    <t>P-05</t>
  </si>
  <si>
    <t>ZÓCALO CON PIVOTE Y BUJESatinado</t>
  </si>
  <si>
    <t>P-11</t>
  </si>
  <si>
    <t>BUJE DE PIVOTACIÓN SUPERIORSatinado</t>
  </si>
  <si>
    <t>P-17A</t>
  </si>
  <si>
    <t>CERRADURAT/ ZÓCALO PISO/TECHOSatinado</t>
  </si>
  <si>
    <t>P-51D</t>
  </si>
  <si>
    <t>CERROJO CENTRAL DERECHO       Satinado</t>
  </si>
  <si>
    <t>H18</t>
  </si>
  <si>
    <t>PAR DE GUANTES ANTIDESLIZANTE</t>
  </si>
  <si>
    <t>IM72</t>
  </si>
  <si>
    <t>Corta Vidrio - INOMAX</t>
  </si>
  <si>
    <t>Descuento</t>
  </si>
  <si>
    <t>Ganancia</t>
  </si>
  <si>
    <t>0101.KIT.BALAY.DORADO</t>
  </si>
  <si>
    <t>KIT Balayage Magia Otowil Dorado (Color 9.3)</t>
  </si>
  <si>
    <t>0101.KIT.BALAY.FRIO</t>
  </si>
  <si>
    <t>KIT Balayage Magia Otowil Frío (Color 9.1)</t>
  </si>
  <si>
    <t>0101.KIT.MECHAS.CALIDO</t>
  </si>
  <si>
    <t>Kit Mechas Magia Cálido (Color 9)</t>
  </si>
  <si>
    <t>0101.KIT.MECHAS.DORADO</t>
  </si>
  <si>
    <t>Kit Mechas Magia Dorado (Color 9.3)</t>
  </si>
  <si>
    <t>0101.KIT.MECHAS.FRIO</t>
  </si>
  <si>
    <t>Kit Mechas Magia Frío (Color 9.1)</t>
  </si>
  <si>
    <t>0102.KIT.BAL.LILA</t>
  </si>
  <si>
    <t>KIT Balayage Cielo Color LILA</t>
  </si>
  <si>
    <t>0102.KIT.BAL.MAG</t>
  </si>
  <si>
    <t>KIT Balayage Cielo Color MAGENTA</t>
  </si>
  <si>
    <t>0102.KIT.BAL.MULTI</t>
  </si>
  <si>
    <t>KIT Balayage Cielo Color MULTICOLOR CORAL-TURQUESA</t>
  </si>
  <si>
    <t>0102.KIT.BAL.ROJO</t>
  </si>
  <si>
    <t>KIT Balayage Cielo Color ROJO</t>
  </si>
  <si>
    <t>0102.KIT.BAL.ROSA</t>
  </si>
  <si>
    <t>KIT Balayage Cielo Color ROSA ELÉCTRICO</t>
  </si>
  <si>
    <t>0102.KIT.BAL.VIOLETA</t>
  </si>
  <si>
    <t>KIT Balayage Cielo Color VIOLETA</t>
  </si>
  <si>
    <t>0102.KIT.DECO</t>
  </si>
  <si>
    <t>KIT DECOLORACIÓN - Cielo Color</t>
  </si>
  <si>
    <t>0102.KIT.UNDER.AZUL</t>
  </si>
  <si>
    <t>KIT Underlight Cielo Color AZUL</t>
  </si>
  <si>
    <t>0102.KIT.UNDER.CORAL</t>
  </si>
  <si>
    <t>KIT Underlight Cielo Color CORAL</t>
  </si>
  <si>
    <t>0102.KIT.UNDER.MAG</t>
  </si>
  <si>
    <t>KIT Underlight Cielo Color MAGENTA</t>
  </si>
  <si>
    <t>0102.KIT.UNDER.MULTI</t>
  </si>
  <si>
    <t>KIT Underlight Cielo Color MULTICOLOR AZUL-CELESTE</t>
  </si>
  <si>
    <t>0102.KIT.UNDER.ROJO</t>
  </si>
  <si>
    <t>KIT Underlight Cielo Color ROJO</t>
  </si>
  <si>
    <t>0102.KIT.UNDER.TURQ</t>
  </si>
  <si>
    <t>KIT Underlight Cielo Color TURQUESA</t>
  </si>
  <si>
    <t>0102.KIT.UNDER.VIOLETA</t>
  </si>
  <si>
    <t>KIT Underlight Cielo Color VIOLETA</t>
  </si>
  <si>
    <t>100907.Exhib.OTOFem</t>
  </si>
  <si>
    <t>Exhibidor OTOFem c/carga (3 Jabones, 8 Geles) NUEVO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</si>
</sst>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26" formatCode="\$#,##0.00_);[Red]\(\$#,##0.00\)"/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_-&quot;$&quot;\ * #,##0.00_-;\-&quot;$&quot;\ * #,##0.00_-;_-&quot;$&quot;\ * &quot;-&quot;??_-;_-@_-"/>
    <numFmt numFmtId="179" formatCode="0_ "/>
  </numFmts>
  <fonts count="29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8"/>
      <name val="Consolas"/>
      <charset val="134"/>
    </font>
    <font>
      <sz val="10"/>
      <color rgb="FF000000"/>
      <name val="Times New Roman"/>
      <charset val="20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indexed="8"/>
      <name val="Helvetica"/>
      <charset val="134"/>
    </font>
    <font>
      <u/>
      <sz val="12"/>
      <color theme="10"/>
      <name val="Arial"/>
      <charset val="134"/>
    </font>
    <font>
      <sz val="10"/>
      <name val="Arial"/>
      <charset val="134"/>
    </font>
    <font>
      <sz val="11"/>
      <color rgb="FF000000"/>
      <name val="Calibri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5" fillId="0" borderId="0" applyNumberFormat="0" applyFill="0" applyBorder="0" applyProtection="0">
      <alignment vertical="top" wrapText="1"/>
    </xf>
    <xf numFmtId="0" fontId="0" fillId="0" borderId="0"/>
    <xf numFmtId="0" fontId="26" fillId="0" borderId="0" applyNumberFormat="0" applyFill="0" applyBorder="0" applyAlignment="0" applyProtection="0">
      <alignment vertical="top"/>
      <protection locked="0"/>
    </xf>
    <xf numFmtId="0" fontId="27" fillId="0" borderId="0"/>
    <xf numFmtId="178" fontId="0" fillId="0" borderId="0" applyFont="0" applyFill="0" applyBorder="0" applyAlignment="0" applyProtection="0"/>
    <xf numFmtId="0" fontId="28" fillId="0" borderId="0" applyBorder="0"/>
  </cellStyleXfs>
  <cellXfs count="13">
    <xf numFmtId="0" fontId="0" fillId="0" borderId="0" xfId="0"/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26" fontId="0" fillId="0" borderId="0" xfId="0" applyNumberFormat="1" applyFill="1" applyAlignment="1">
      <alignment vertical="center"/>
    </xf>
    <xf numFmtId="2" fontId="0" fillId="0" borderId="0" xfId="0" applyNumberFormat="1"/>
    <xf numFmtId="0" fontId="1" fillId="0" borderId="0" xfId="0" applyFont="1"/>
    <xf numFmtId="0" fontId="0" fillId="0" borderId="0" xfId="0" applyNumberFormat="1"/>
    <xf numFmtId="0" fontId="1" fillId="0" borderId="0" xfId="0" applyNumberFormat="1" applyFont="1"/>
    <xf numFmtId="49" fontId="0" fillId="0" borderId="0" xfId="0" applyNumberFormat="1"/>
    <xf numFmtId="0" fontId="2" fillId="0" borderId="0" xfId="0" applyFont="1" applyFill="1" applyAlignment="1"/>
    <xf numFmtId="0" fontId="3" fillId="0" borderId="1" xfId="0" applyFont="1" applyFill="1" applyBorder="1" applyAlignment="1">
      <alignment horizontal="left"/>
    </xf>
    <xf numFmtId="0" fontId="4" fillId="0" borderId="0" xfId="0" applyNumberFormat="1" applyFont="1"/>
    <xf numFmtId="0" fontId="5" fillId="0" borderId="0" xfId="0" applyFont="1" applyFill="1" applyBorder="1" applyAlignment="1">
      <alignment horizontal="left" wrapText="1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2 2" xfId="50"/>
    <cellStyle name="Hipervínculo 2" xfId="51"/>
    <cellStyle name="Normal 2" xfId="52"/>
    <cellStyle name="Moneda 2" xfId="53"/>
    <cellStyle name="Normal 4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"/>
  <sheetViews>
    <sheetView tabSelected="1" workbookViewId="0">
      <selection activeCell="A12" sqref="A12"/>
    </sheetView>
  </sheetViews>
  <sheetFormatPr defaultColWidth="137.857142857143" defaultRowHeight="15"/>
  <cols>
    <col min="1" max="1" width="14.7142857142857" style="6" customWidth="1"/>
    <col min="2" max="2" width="14" customWidth="1"/>
    <col min="3" max="3" width="44.6666666666667" customWidth="1"/>
    <col min="4" max="4" width="6.28571428571429" customWidth="1"/>
    <col min="5" max="5" width="4.14285714285714" customWidth="1"/>
    <col min="6" max="6" width="10.2857142857143" customWidth="1"/>
    <col min="7" max="7" width="12" customWidth="1"/>
    <col min="8" max="9" width="10.1142857142857" style="4" customWidth="1"/>
    <col min="10" max="10" width="5.71428571428571" customWidth="1"/>
    <col min="11" max="11" width="12.2857142857143" customWidth="1"/>
  </cols>
  <sheetData>
    <row r="1" s="5" customFormat="1" spans="1:11">
      <c r="A1" s="7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</row>
    <row r="2" spans="1:11">
      <c r="A2" s="8">
        <v>1</v>
      </c>
      <c r="B2" s="6">
        <v>1</v>
      </c>
      <c r="C2" s="9" t="s">
        <v>11</v>
      </c>
      <c r="D2" s="9">
        <v>1</v>
      </c>
      <c r="E2" s="9">
        <v>1</v>
      </c>
      <c r="F2" s="9">
        <v>25</v>
      </c>
      <c r="G2" s="9">
        <v>250000</v>
      </c>
      <c r="H2" s="9">
        <v>250000</v>
      </c>
      <c r="I2" s="4">
        <v>325000</v>
      </c>
      <c r="J2">
        <v>5</v>
      </c>
      <c r="K2">
        <v>5</v>
      </c>
    </row>
    <row r="3" spans="1:11">
      <c r="A3" s="8">
        <v>2</v>
      </c>
      <c r="B3" s="6">
        <v>2</v>
      </c>
      <c r="C3" s="9" t="s">
        <v>12</v>
      </c>
      <c r="D3" s="9">
        <v>1</v>
      </c>
      <c r="E3" s="9">
        <v>1</v>
      </c>
      <c r="F3" s="9">
        <v>25</v>
      </c>
      <c r="G3" s="9">
        <v>250000</v>
      </c>
      <c r="H3" s="9">
        <v>250000</v>
      </c>
      <c r="I3" s="4">
        <v>325000</v>
      </c>
      <c r="J3">
        <v>5</v>
      </c>
      <c r="K3">
        <v>5</v>
      </c>
    </row>
    <row r="4" spans="1:11">
      <c r="A4" s="8">
        <v>3</v>
      </c>
      <c r="B4" s="6">
        <v>3</v>
      </c>
      <c r="C4" s="9" t="s">
        <v>13</v>
      </c>
      <c r="D4" s="9">
        <v>1</v>
      </c>
      <c r="E4" s="9">
        <v>1</v>
      </c>
      <c r="F4" s="9">
        <v>25</v>
      </c>
      <c r="G4" s="9">
        <v>100000</v>
      </c>
      <c r="H4" s="9">
        <v>100000</v>
      </c>
      <c r="I4" s="4">
        <v>130000</v>
      </c>
      <c r="J4">
        <v>5</v>
      </c>
      <c r="K4">
        <v>5</v>
      </c>
    </row>
    <row r="5" spans="1:11">
      <c r="A5" s="8">
        <v>4</v>
      </c>
      <c r="B5" s="6">
        <v>4</v>
      </c>
      <c r="C5" s="9" t="s">
        <v>14</v>
      </c>
      <c r="D5" s="9">
        <v>1</v>
      </c>
      <c r="E5" s="9">
        <v>1</v>
      </c>
      <c r="F5" s="9">
        <v>25</v>
      </c>
      <c r="G5" s="9">
        <v>25000</v>
      </c>
      <c r="H5" s="9">
        <v>25000</v>
      </c>
      <c r="I5" s="4">
        <v>32500</v>
      </c>
      <c r="J5">
        <v>5</v>
      </c>
      <c r="K5">
        <v>5</v>
      </c>
    </row>
    <row r="6" ht="15.75" spans="1:11">
      <c r="A6" s="8">
        <v>5</v>
      </c>
      <c r="B6" s="6">
        <v>5</v>
      </c>
      <c r="C6" s="9" t="s">
        <v>15</v>
      </c>
      <c r="D6" s="9">
        <v>1</v>
      </c>
      <c r="E6" s="9">
        <v>1</v>
      </c>
      <c r="F6" s="9">
        <v>25</v>
      </c>
      <c r="G6" s="9">
        <v>40000</v>
      </c>
      <c r="H6" s="9">
        <v>40000</v>
      </c>
      <c r="I6" s="4">
        <v>52000</v>
      </c>
      <c r="J6">
        <v>5</v>
      </c>
      <c r="K6">
        <v>5</v>
      </c>
    </row>
    <row r="7" ht="16.5" spans="1:11">
      <c r="A7" s="8">
        <v>6</v>
      </c>
      <c r="B7" s="6">
        <v>6</v>
      </c>
      <c r="C7" s="10" t="s">
        <v>16</v>
      </c>
      <c r="D7" s="9">
        <v>1</v>
      </c>
      <c r="E7" s="9">
        <v>1</v>
      </c>
      <c r="F7" s="9">
        <v>25</v>
      </c>
      <c r="G7" s="9">
        <v>75000</v>
      </c>
      <c r="H7" s="9">
        <v>75000</v>
      </c>
      <c r="I7" s="4">
        <v>97500</v>
      </c>
      <c r="J7">
        <v>5</v>
      </c>
      <c r="K7">
        <v>5</v>
      </c>
    </row>
    <row r="8" spans="1:11">
      <c r="A8" s="11" t="s">
        <v>17</v>
      </c>
      <c r="B8">
        <v>0</v>
      </c>
      <c r="C8" s="12" t="s">
        <v>18</v>
      </c>
      <c r="D8" s="9">
        <v>1</v>
      </c>
      <c r="E8" s="9">
        <v>1</v>
      </c>
      <c r="F8">
        <v>26</v>
      </c>
      <c r="G8" s="9">
        <v>33553.98</v>
      </c>
      <c r="H8" s="9">
        <v>33553.98</v>
      </c>
      <c r="I8" s="4">
        <v>43620.174</v>
      </c>
      <c r="J8">
        <v>4</v>
      </c>
      <c r="K8">
        <v>5</v>
      </c>
    </row>
    <row r="9" spans="1:11">
      <c r="A9" s="11" t="s">
        <v>19</v>
      </c>
      <c r="B9">
        <v>0</v>
      </c>
      <c r="C9" s="12" t="s">
        <v>20</v>
      </c>
      <c r="D9" s="9">
        <v>1</v>
      </c>
      <c r="E9" s="9">
        <v>1</v>
      </c>
      <c r="F9">
        <v>26</v>
      </c>
      <c r="G9" s="9">
        <v>46436.32</v>
      </c>
      <c r="H9" s="9">
        <v>46436.32</v>
      </c>
      <c r="I9" s="4">
        <v>60367.216</v>
      </c>
      <c r="J9">
        <v>4</v>
      </c>
      <c r="K9">
        <v>5</v>
      </c>
    </row>
    <row r="10" spans="1:11">
      <c r="A10" s="11" t="s">
        <v>21</v>
      </c>
      <c r="B10">
        <v>0</v>
      </c>
      <c r="C10" s="12" t="s">
        <v>22</v>
      </c>
      <c r="D10" s="9">
        <v>1</v>
      </c>
      <c r="E10" s="9">
        <v>1</v>
      </c>
      <c r="F10">
        <v>26</v>
      </c>
      <c r="G10" s="9">
        <v>31456.86</v>
      </c>
      <c r="H10" s="9">
        <v>31456.86</v>
      </c>
      <c r="I10" s="4">
        <v>40893.918</v>
      </c>
      <c r="J10">
        <v>4</v>
      </c>
      <c r="K10">
        <v>5</v>
      </c>
    </row>
    <row r="11" spans="1:11">
      <c r="A11" s="11" t="s">
        <v>23</v>
      </c>
      <c r="B11">
        <v>0</v>
      </c>
      <c r="C11" s="12" t="s">
        <v>24</v>
      </c>
      <c r="D11" s="9">
        <v>1</v>
      </c>
      <c r="E11" s="9">
        <v>1</v>
      </c>
      <c r="F11">
        <v>26</v>
      </c>
      <c r="G11" s="9">
        <v>47784.48</v>
      </c>
      <c r="H11" s="9">
        <v>47784.48</v>
      </c>
      <c r="I11" s="4">
        <v>62119.824</v>
      </c>
      <c r="J11">
        <v>4</v>
      </c>
      <c r="K11">
        <v>5</v>
      </c>
    </row>
    <row r="12" spans="1:11">
      <c r="A12" s="11" t="s">
        <v>25</v>
      </c>
      <c r="B12">
        <v>0</v>
      </c>
      <c r="C12" s="12" t="s">
        <v>26</v>
      </c>
      <c r="D12" s="9">
        <v>1</v>
      </c>
      <c r="E12" s="9">
        <v>1</v>
      </c>
      <c r="F12">
        <v>26</v>
      </c>
      <c r="G12" s="9">
        <v>51891.9</v>
      </c>
      <c r="H12" s="9">
        <v>51891.9</v>
      </c>
      <c r="I12" s="4">
        <v>67459.47</v>
      </c>
      <c r="J12">
        <v>4</v>
      </c>
      <c r="K12">
        <v>5</v>
      </c>
    </row>
    <row r="13" spans="1:11">
      <c r="A13" s="11" t="s">
        <v>27</v>
      </c>
      <c r="B13">
        <v>0</v>
      </c>
      <c r="C13" s="12" t="s">
        <v>28</v>
      </c>
      <c r="D13" s="9">
        <v>1</v>
      </c>
      <c r="E13" s="9">
        <v>1</v>
      </c>
      <c r="F13">
        <v>26</v>
      </c>
      <c r="G13" s="9">
        <v>27502.3</v>
      </c>
      <c r="H13" s="9">
        <v>27502.3</v>
      </c>
      <c r="I13" s="4">
        <v>35752.99</v>
      </c>
      <c r="J13">
        <v>4</v>
      </c>
      <c r="K13">
        <v>5</v>
      </c>
    </row>
    <row r="14" spans="1:11">
      <c r="A14" s="11" t="s">
        <v>29</v>
      </c>
      <c r="B14">
        <v>0</v>
      </c>
      <c r="C14" s="12" t="s">
        <v>30</v>
      </c>
      <c r="D14" s="9">
        <v>1</v>
      </c>
      <c r="E14" s="9">
        <v>1</v>
      </c>
      <c r="F14">
        <v>26</v>
      </c>
      <c r="G14" s="9">
        <v>35255.54</v>
      </c>
      <c r="H14" s="9">
        <v>35255.54</v>
      </c>
      <c r="I14" s="4">
        <v>45832.202</v>
      </c>
      <c r="J14">
        <v>3</v>
      </c>
      <c r="K14">
        <v>5</v>
      </c>
    </row>
    <row r="15" spans="1:11">
      <c r="A15" s="11" t="s">
        <v>31</v>
      </c>
      <c r="B15">
        <v>0</v>
      </c>
      <c r="C15" s="12" t="s">
        <v>32</v>
      </c>
      <c r="D15" s="9">
        <v>1</v>
      </c>
      <c r="E15" s="9">
        <v>1</v>
      </c>
      <c r="F15">
        <v>26</v>
      </c>
      <c r="G15" s="9">
        <v>70643.2</v>
      </c>
      <c r="H15" s="9">
        <v>70643.2</v>
      </c>
      <c r="I15" s="4">
        <v>91836.16</v>
      </c>
      <c r="J15">
        <v>20</v>
      </c>
      <c r="K15">
        <v>5</v>
      </c>
    </row>
    <row r="16" spans="1:11">
      <c r="A16" s="11" t="s">
        <v>33</v>
      </c>
      <c r="B16">
        <v>0</v>
      </c>
      <c r="C16" s="12" t="s">
        <v>34</v>
      </c>
      <c r="D16" s="9">
        <v>1</v>
      </c>
      <c r="E16" s="9">
        <v>1</v>
      </c>
      <c r="F16">
        <v>26</v>
      </c>
      <c r="G16" s="9">
        <v>57220.92</v>
      </c>
      <c r="H16" s="9">
        <v>57220.92</v>
      </c>
      <c r="I16" s="4">
        <v>74387.196</v>
      </c>
      <c r="J16">
        <v>15</v>
      </c>
      <c r="K16">
        <v>5</v>
      </c>
    </row>
    <row r="17" spans="1:11">
      <c r="A17" s="11" t="s">
        <v>35</v>
      </c>
      <c r="B17">
        <v>0</v>
      </c>
      <c r="C17" s="12" t="s">
        <v>36</v>
      </c>
      <c r="D17" s="9">
        <v>1</v>
      </c>
      <c r="E17" s="9">
        <v>1</v>
      </c>
      <c r="F17">
        <v>26</v>
      </c>
      <c r="G17" s="9">
        <v>180512.64</v>
      </c>
      <c r="H17" s="9">
        <v>180512.64</v>
      </c>
      <c r="I17" s="4">
        <v>234666.432</v>
      </c>
      <c r="J17">
        <v>20</v>
      </c>
      <c r="K17">
        <v>5</v>
      </c>
    </row>
    <row r="18" spans="1:11">
      <c r="A18" s="11" t="s">
        <v>37</v>
      </c>
      <c r="B18">
        <v>0</v>
      </c>
      <c r="C18" s="12" t="s">
        <v>38</v>
      </c>
      <c r="D18" s="9">
        <v>1</v>
      </c>
      <c r="E18" s="9">
        <v>1</v>
      </c>
      <c r="F18">
        <v>26</v>
      </c>
      <c r="G18" s="9">
        <v>212828.16</v>
      </c>
      <c r="H18" s="9">
        <v>212828.16</v>
      </c>
      <c r="I18" s="4">
        <v>276676.608</v>
      </c>
      <c r="J18">
        <v>20</v>
      </c>
      <c r="K18">
        <v>5</v>
      </c>
    </row>
    <row r="19" spans="1:11">
      <c r="A19" s="11" t="s">
        <v>39</v>
      </c>
      <c r="B19">
        <v>0</v>
      </c>
      <c r="C19" s="12" t="s">
        <v>40</v>
      </c>
      <c r="D19" s="9">
        <v>1</v>
      </c>
      <c r="E19" s="9">
        <v>1</v>
      </c>
      <c r="F19">
        <v>26</v>
      </c>
      <c r="G19" s="9">
        <v>22289.47</v>
      </c>
      <c r="H19" s="9">
        <v>22289.47</v>
      </c>
      <c r="I19" s="4">
        <v>28976.311</v>
      </c>
      <c r="J19">
        <v>12</v>
      </c>
      <c r="K19">
        <v>5</v>
      </c>
    </row>
    <row r="20" spans="1:11">
      <c r="A20" s="11" t="s">
        <v>41</v>
      </c>
      <c r="B20">
        <v>0</v>
      </c>
      <c r="C20" s="12" t="s">
        <v>42</v>
      </c>
      <c r="D20" s="9">
        <v>1</v>
      </c>
      <c r="E20" s="9">
        <v>1</v>
      </c>
      <c r="F20">
        <v>26</v>
      </c>
      <c r="G20" s="9">
        <v>130809.07</v>
      </c>
      <c r="H20" s="9">
        <v>130809.07</v>
      </c>
      <c r="I20" s="4">
        <v>170051.791</v>
      </c>
      <c r="J20">
        <v>6</v>
      </c>
      <c r="K20">
        <v>5</v>
      </c>
    </row>
    <row r="21" spans="1:11">
      <c r="A21" s="11" t="s">
        <v>43</v>
      </c>
      <c r="B21">
        <v>0</v>
      </c>
      <c r="C21" s="12" t="s">
        <v>44</v>
      </c>
      <c r="D21" s="9">
        <v>1</v>
      </c>
      <c r="E21" s="9">
        <v>1</v>
      </c>
      <c r="F21">
        <v>26</v>
      </c>
      <c r="G21" s="9">
        <v>108843.65</v>
      </c>
      <c r="H21" s="9">
        <v>108843.65</v>
      </c>
      <c r="I21" s="4">
        <v>141496.745</v>
      </c>
      <c r="J21">
        <v>6</v>
      </c>
      <c r="K21">
        <v>5</v>
      </c>
    </row>
    <row r="22" spans="1:11">
      <c r="A22" s="11" t="s">
        <v>45</v>
      </c>
      <c r="B22">
        <v>0</v>
      </c>
      <c r="C22" s="12" t="s">
        <v>46</v>
      </c>
      <c r="D22" s="9">
        <v>1</v>
      </c>
      <c r="E22" s="9">
        <v>1</v>
      </c>
      <c r="F22">
        <v>26</v>
      </c>
      <c r="G22" s="9">
        <v>14097.22</v>
      </c>
      <c r="H22" s="9">
        <v>14097.22</v>
      </c>
      <c r="I22" s="4">
        <v>18326.386</v>
      </c>
      <c r="J22">
        <v>6</v>
      </c>
      <c r="K22">
        <v>5</v>
      </c>
    </row>
    <row r="23" spans="1:11">
      <c r="A23" s="11" t="s">
        <v>47</v>
      </c>
      <c r="B23">
        <v>0</v>
      </c>
      <c r="C23" s="12" t="s">
        <v>48</v>
      </c>
      <c r="D23" s="9">
        <v>1</v>
      </c>
      <c r="E23" s="9">
        <v>1</v>
      </c>
      <c r="F23">
        <v>26</v>
      </c>
      <c r="G23" s="9">
        <v>180313.25</v>
      </c>
      <c r="H23" s="9">
        <v>180313.25</v>
      </c>
      <c r="I23" s="4">
        <v>234407.225</v>
      </c>
      <c r="J23">
        <v>6</v>
      </c>
      <c r="K23">
        <v>5</v>
      </c>
    </row>
    <row r="24" spans="1:11">
      <c r="A24" s="11" t="s">
        <v>49</v>
      </c>
      <c r="B24">
        <v>0</v>
      </c>
      <c r="C24" s="12" t="s">
        <v>50</v>
      </c>
      <c r="D24" s="9">
        <v>1</v>
      </c>
      <c r="E24" s="9">
        <v>1</v>
      </c>
      <c r="F24">
        <v>26</v>
      </c>
      <c r="G24" s="9">
        <v>185886.58</v>
      </c>
      <c r="H24" s="9">
        <v>185886.58</v>
      </c>
      <c r="I24" s="4">
        <v>241652.554</v>
      </c>
      <c r="J24">
        <v>6</v>
      </c>
      <c r="K24">
        <v>5</v>
      </c>
    </row>
    <row r="25" spans="1:11">
      <c r="A25" s="11" t="s">
        <v>51</v>
      </c>
      <c r="B25">
        <v>0</v>
      </c>
      <c r="C25" s="12" t="s">
        <v>52</v>
      </c>
      <c r="D25" s="9">
        <v>1</v>
      </c>
      <c r="E25" s="9">
        <v>1</v>
      </c>
      <c r="F25">
        <v>26</v>
      </c>
      <c r="G25" s="9">
        <v>13472.48</v>
      </c>
      <c r="H25" s="9">
        <v>13472.48</v>
      </c>
      <c r="I25" s="4">
        <v>17514.224</v>
      </c>
      <c r="J25">
        <v>10</v>
      </c>
      <c r="K25">
        <v>5</v>
      </c>
    </row>
    <row r="26" spans="1:11">
      <c r="A26" s="11" t="s">
        <v>53</v>
      </c>
      <c r="B26">
        <v>0</v>
      </c>
      <c r="C26" s="12" t="s">
        <v>54</v>
      </c>
      <c r="D26" s="9">
        <v>1</v>
      </c>
      <c r="E26" s="9">
        <v>1</v>
      </c>
      <c r="F26">
        <v>26</v>
      </c>
      <c r="G26" s="9">
        <v>50054.18</v>
      </c>
      <c r="H26" s="9">
        <v>50054.18</v>
      </c>
      <c r="I26" s="4">
        <v>65070.434</v>
      </c>
      <c r="J26">
        <v>4</v>
      </c>
      <c r="K26">
        <v>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B3" sqref="B3"/>
    </sheetView>
  </sheetViews>
  <sheetFormatPr defaultColWidth="11" defaultRowHeight="15" outlineLevelRow="1" outlineLevelCol="1"/>
  <sheetData>
    <row r="1" spans="1:2">
      <c r="A1" t="s">
        <v>55</v>
      </c>
      <c r="B1" t="s">
        <v>56</v>
      </c>
    </row>
    <row r="2" s="4" customFormat="1" spans="1:2">
      <c r="A2" s="4">
        <v>0.85</v>
      </c>
      <c r="B2" s="4">
        <v>1.15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workbookViewId="0">
      <selection activeCell="A1" sqref="A1:K20"/>
    </sheetView>
  </sheetViews>
  <sheetFormatPr defaultColWidth="9.14285714285714" defaultRowHeight="15"/>
  <sheetData>
    <row r="1" spans="1:11">
      <c r="A1" s="1" t="s">
        <v>57</v>
      </c>
      <c r="B1" s="2">
        <v>7798382381925</v>
      </c>
      <c r="C1" s="1" t="s">
        <v>58</v>
      </c>
      <c r="D1">
        <v>7</v>
      </c>
      <c r="E1">
        <v>1</v>
      </c>
      <c r="F1">
        <v>18</v>
      </c>
      <c r="G1" s="3">
        <v>2481</v>
      </c>
      <c r="H1" s="4">
        <f t="shared" ref="H1:H20" si="0">G1*0.7</f>
        <v>1736.7</v>
      </c>
      <c r="I1" s="3">
        <v>2481</v>
      </c>
      <c r="J1">
        <v>0</v>
      </c>
      <c r="K1">
        <v>5</v>
      </c>
    </row>
    <row r="2" spans="1:11">
      <c r="A2" s="1" t="s">
        <v>59</v>
      </c>
      <c r="B2" s="2">
        <v>7798382381932</v>
      </c>
      <c r="C2" s="1" t="s">
        <v>60</v>
      </c>
      <c r="D2">
        <v>7</v>
      </c>
      <c r="E2">
        <v>1</v>
      </c>
      <c r="F2">
        <v>18</v>
      </c>
      <c r="G2" s="3">
        <v>2481</v>
      </c>
      <c r="H2" s="4">
        <f t="shared" si="0"/>
        <v>1736.7</v>
      </c>
      <c r="I2" s="3">
        <v>2481</v>
      </c>
      <c r="J2">
        <v>0</v>
      </c>
      <c r="K2">
        <v>5</v>
      </c>
    </row>
    <row r="3" spans="1:11">
      <c r="A3" s="1" t="s">
        <v>61</v>
      </c>
      <c r="B3" s="2">
        <v>7798382381925</v>
      </c>
      <c r="C3" s="1" t="s">
        <v>62</v>
      </c>
      <c r="D3">
        <v>7</v>
      </c>
      <c r="E3">
        <v>1</v>
      </c>
      <c r="F3">
        <v>18</v>
      </c>
      <c r="G3" s="3">
        <v>2481</v>
      </c>
      <c r="H3" s="4">
        <f t="shared" si="0"/>
        <v>1736.7</v>
      </c>
      <c r="I3" s="3">
        <v>2481</v>
      </c>
      <c r="J3">
        <v>0</v>
      </c>
      <c r="K3">
        <v>5</v>
      </c>
    </row>
    <row r="4" spans="1:11">
      <c r="A4" s="1" t="s">
        <v>63</v>
      </c>
      <c r="B4" s="2">
        <v>7798382381932</v>
      </c>
      <c r="C4" s="1" t="s">
        <v>64</v>
      </c>
      <c r="D4">
        <v>7</v>
      </c>
      <c r="E4">
        <v>1</v>
      </c>
      <c r="F4">
        <v>18</v>
      </c>
      <c r="G4" s="3">
        <v>2481</v>
      </c>
      <c r="H4" s="4">
        <f t="shared" si="0"/>
        <v>1736.7</v>
      </c>
      <c r="I4" s="3">
        <v>2481</v>
      </c>
      <c r="J4">
        <v>0</v>
      </c>
      <c r="K4">
        <v>5</v>
      </c>
    </row>
    <row r="5" spans="1:11">
      <c r="A5" s="1" t="s">
        <v>65</v>
      </c>
      <c r="B5" s="2">
        <v>0</v>
      </c>
      <c r="C5" s="1" t="s">
        <v>66</v>
      </c>
      <c r="D5">
        <v>7</v>
      </c>
      <c r="E5">
        <v>1</v>
      </c>
      <c r="F5">
        <v>18</v>
      </c>
      <c r="G5" s="3">
        <v>2481</v>
      </c>
      <c r="H5" s="4">
        <f t="shared" si="0"/>
        <v>1736.7</v>
      </c>
      <c r="I5" s="3">
        <v>2481</v>
      </c>
      <c r="J5">
        <v>0</v>
      </c>
      <c r="K5">
        <v>5</v>
      </c>
    </row>
    <row r="6" spans="1:11">
      <c r="A6" s="1" t="s">
        <v>67</v>
      </c>
      <c r="B6" s="2">
        <v>7798382381963</v>
      </c>
      <c r="C6" s="1" t="s">
        <v>68</v>
      </c>
      <c r="D6">
        <v>7</v>
      </c>
      <c r="E6">
        <v>1</v>
      </c>
      <c r="F6">
        <v>18</v>
      </c>
      <c r="G6" s="3">
        <v>2481</v>
      </c>
      <c r="H6" s="4">
        <f t="shared" si="0"/>
        <v>1736.7</v>
      </c>
      <c r="I6" s="3">
        <v>2481</v>
      </c>
      <c r="J6">
        <v>0</v>
      </c>
      <c r="K6">
        <v>5</v>
      </c>
    </row>
    <row r="7" spans="1:11">
      <c r="A7" s="1" t="s">
        <v>69</v>
      </c>
      <c r="B7" s="2">
        <v>7798382381895</v>
      </c>
      <c r="C7" s="1" t="s">
        <v>70</v>
      </c>
      <c r="D7">
        <v>7</v>
      </c>
      <c r="E7">
        <v>1</v>
      </c>
      <c r="F7">
        <v>18</v>
      </c>
      <c r="G7" s="3">
        <v>2481</v>
      </c>
      <c r="H7" s="4">
        <f t="shared" si="0"/>
        <v>1736.7</v>
      </c>
      <c r="I7" s="3">
        <v>2481</v>
      </c>
      <c r="J7">
        <v>0</v>
      </c>
      <c r="K7">
        <v>5</v>
      </c>
    </row>
    <row r="8" spans="1:11">
      <c r="A8" s="1" t="s">
        <v>71</v>
      </c>
      <c r="B8" s="2">
        <v>7798382382373</v>
      </c>
      <c r="C8" s="1" t="s">
        <v>72</v>
      </c>
      <c r="D8">
        <v>7</v>
      </c>
      <c r="E8">
        <v>1</v>
      </c>
      <c r="F8">
        <v>18</v>
      </c>
      <c r="G8" s="3">
        <v>2481</v>
      </c>
      <c r="H8" s="4">
        <f t="shared" si="0"/>
        <v>1736.7</v>
      </c>
      <c r="I8" s="3">
        <v>2481</v>
      </c>
      <c r="J8">
        <v>0</v>
      </c>
      <c r="K8">
        <v>5</v>
      </c>
    </row>
    <row r="9" spans="1:11">
      <c r="A9" s="1" t="s">
        <v>73</v>
      </c>
      <c r="B9" s="2">
        <v>7798382382380</v>
      </c>
      <c r="C9" s="1" t="s">
        <v>74</v>
      </c>
      <c r="D9">
        <v>7</v>
      </c>
      <c r="E9">
        <v>1</v>
      </c>
      <c r="F9">
        <v>18</v>
      </c>
      <c r="G9" s="3">
        <v>2481</v>
      </c>
      <c r="H9" s="4">
        <f t="shared" si="0"/>
        <v>1736.7</v>
      </c>
      <c r="I9" s="3">
        <v>2481</v>
      </c>
      <c r="J9">
        <v>0</v>
      </c>
      <c r="K9">
        <v>5</v>
      </c>
    </row>
    <row r="10" spans="1:11">
      <c r="A10" s="1" t="s">
        <v>75</v>
      </c>
      <c r="B10" s="2">
        <v>7798382381956</v>
      </c>
      <c r="C10" s="1" t="s">
        <v>76</v>
      </c>
      <c r="D10">
        <v>7</v>
      </c>
      <c r="E10">
        <v>1</v>
      </c>
      <c r="F10">
        <v>18</v>
      </c>
      <c r="G10" s="3">
        <v>2481</v>
      </c>
      <c r="H10" s="4">
        <f t="shared" si="0"/>
        <v>1736.7</v>
      </c>
      <c r="I10" s="3">
        <v>2481</v>
      </c>
      <c r="J10">
        <v>0</v>
      </c>
      <c r="K10">
        <v>5</v>
      </c>
    </row>
    <row r="11" spans="1:11">
      <c r="A11" s="1" t="s">
        <v>77</v>
      </c>
      <c r="B11" s="2">
        <v>7798382380485</v>
      </c>
      <c r="C11" s="1" t="s">
        <v>78</v>
      </c>
      <c r="D11">
        <v>7</v>
      </c>
      <c r="E11">
        <v>1</v>
      </c>
      <c r="F11">
        <v>18</v>
      </c>
      <c r="G11" s="3">
        <v>2481</v>
      </c>
      <c r="H11" s="4">
        <f t="shared" si="0"/>
        <v>1736.7</v>
      </c>
      <c r="I11" s="3">
        <v>2481</v>
      </c>
      <c r="J11">
        <v>0</v>
      </c>
      <c r="K11">
        <v>5</v>
      </c>
    </row>
    <row r="12" spans="1:11">
      <c r="A12" s="1" t="s">
        <v>79</v>
      </c>
      <c r="B12" s="2">
        <v>7798382380492</v>
      </c>
      <c r="C12" s="1" t="s">
        <v>80</v>
      </c>
      <c r="D12">
        <v>7</v>
      </c>
      <c r="E12">
        <v>1</v>
      </c>
      <c r="F12">
        <v>18</v>
      </c>
      <c r="G12" s="3">
        <v>1984.3</v>
      </c>
      <c r="H12" s="4">
        <f t="shared" si="0"/>
        <v>1389.01</v>
      </c>
      <c r="I12" s="3">
        <v>1984.3</v>
      </c>
      <c r="J12">
        <v>0</v>
      </c>
      <c r="K12">
        <v>5</v>
      </c>
    </row>
    <row r="13" spans="1:11">
      <c r="A13" s="1" t="s">
        <v>81</v>
      </c>
      <c r="B13" s="2">
        <v>7798382381901</v>
      </c>
      <c r="C13" s="1" t="s">
        <v>82</v>
      </c>
      <c r="D13">
        <v>7</v>
      </c>
      <c r="E13">
        <v>1</v>
      </c>
      <c r="F13">
        <v>18</v>
      </c>
      <c r="G13" s="3">
        <v>2481</v>
      </c>
      <c r="H13" s="4">
        <f t="shared" si="0"/>
        <v>1736.7</v>
      </c>
      <c r="I13" s="3">
        <v>2481</v>
      </c>
      <c r="J13">
        <v>0</v>
      </c>
      <c r="K13">
        <v>5</v>
      </c>
    </row>
    <row r="14" spans="1:11">
      <c r="A14" s="1" t="s">
        <v>83</v>
      </c>
      <c r="B14" s="2">
        <v>7798382381994</v>
      </c>
      <c r="C14" s="1" t="s">
        <v>84</v>
      </c>
      <c r="D14">
        <v>7</v>
      </c>
      <c r="E14">
        <v>1</v>
      </c>
      <c r="F14">
        <v>18</v>
      </c>
      <c r="G14" s="3">
        <v>2481</v>
      </c>
      <c r="H14" s="4">
        <f t="shared" si="0"/>
        <v>1736.7</v>
      </c>
      <c r="I14" s="3">
        <v>2481</v>
      </c>
      <c r="J14">
        <v>0</v>
      </c>
      <c r="K14">
        <v>5</v>
      </c>
    </row>
    <row r="15" spans="1:11">
      <c r="A15" s="1" t="s">
        <v>85</v>
      </c>
      <c r="B15" s="2">
        <v>7798382381918</v>
      </c>
      <c r="C15" s="1" t="s">
        <v>86</v>
      </c>
      <c r="D15">
        <v>7</v>
      </c>
      <c r="E15">
        <v>1</v>
      </c>
      <c r="F15">
        <v>18</v>
      </c>
      <c r="G15" s="3">
        <v>2481</v>
      </c>
      <c r="H15" s="4">
        <f t="shared" si="0"/>
        <v>1736.7</v>
      </c>
      <c r="I15" s="3">
        <v>2481</v>
      </c>
      <c r="J15">
        <v>0</v>
      </c>
      <c r="K15">
        <v>5</v>
      </c>
    </row>
    <row r="16" spans="1:11">
      <c r="A16" s="1" t="s">
        <v>87</v>
      </c>
      <c r="B16" s="2">
        <v>7798382382434</v>
      </c>
      <c r="C16" s="1" t="s">
        <v>88</v>
      </c>
      <c r="D16">
        <v>7</v>
      </c>
      <c r="E16">
        <v>1</v>
      </c>
      <c r="F16">
        <v>18</v>
      </c>
      <c r="G16" s="3">
        <v>2481</v>
      </c>
      <c r="H16" s="4">
        <f t="shared" si="0"/>
        <v>1736.7</v>
      </c>
      <c r="I16" s="3">
        <v>2481</v>
      </c>
      <c r="J16">
        <v>0</v>
      </c>
      <c r="K16">
        <v>5</v>
      </c>
    </row>
    <row r="17" spans="1:11">
      <c r="A17" s="1" t="s">
        <v>89</v>
      </c>
      <c r="B17" s="2">
        <v>7798382380508</v>
      </c>
      <c r="C17" s="1" t="s">
        <v>90</v>
      </c>
      <c r="D17">
        <v>7</v>
      </c>
      <c r="E17">
        <v>1</v>
      </c>
      <c r="F17">
        <v>18</v>
      </c>
      <c r="G17" s="3">
        <v>2481</v>
      </c>
      <c r="H17" s="4">
        <f t="shared" si="0"/>
        <v>1736.7</v>
      </c>
      <c r="I17" s="3">
        <v>2481</v>
      </c>
      <c r="J17">
        <v>0</v>
      </c>
      <c r="K17">
        <v>5</v>
      </c>
    </row>
    <row r="18" spans="1:11">
      <c r="A18" s="1" t="s">
        <v>91</v>
      </c>
      <c r="B18" s="2">
        <v>7798382382014</v>
      </c>
      <c r="C18" s="1" t="s">
        <v>92</v>
      </c>
      <c r="D18">
        <v>7</v>
      </c>
      <c r="E18">
        <v>1</v>
      </c>
      <c r="F18">
        <v>18</v>
      </c>
      <c r="G18" s="3">
        <v>2481</v>
      </c>
      <c r="H18" s="4">
        <f t="shared" si="0"/>
        <v>1736.7</v>
      </c>
      <c r="I18" s="3">
        <v>2481</v>
      </c>
      <c r="J18">
        <v>0</v>
      </c>
      <c r="K18">
        <v>5</v>
      </c>
    </row>
    <row r="19" spans="1:11">
      <c r="A19" s="1" t="s">
        <v>93</v>
      </c>
      <c r="B19" s="2">
        <v>7798382382007</v>
      </c>
      <c r="C19" s="1" t="s">
        <v>94</v>
      </c>
      <c r="D19">
        <v>7</v>
      </c>
      <c r="E19">
        <v>1</v>
      </c>
      <c r="F19">
        <v>18</v>
      </c>
      <c r="G19" s="3">
        <v>2481</v>
      </c>
      <c r="H19" s="4">
        <f t="shared" si="0"/>
        <v>1736.7</v>
      </c>
      <c r="I19" s="3">
        <v>2481</v>
      </c>
      <c r="J19">
        <v>0</v>
      </c>
      <c r="K19">
        <v>5</v>
      </c>
    </row>
    <row r="20" spans="1:11">
      <c r="A20" s="1" t="s">
        <v>95</v>
      </c>
      <c r="B20" s="2">
        <v>7798382384193</v>
      </c>
      <c r="C20" s="1" t="s">
        <v>96</v>
      </c>
      <c r="D20">
        <v>7</v>
      </c>
      <c r="E20">
        <v>1</v>
      </c>
      <c r="F20">
        <v>18</v>
      </c>
      <c r="G20" s="3">
        <v>10252.83</v>
      </c>
      <c r="H20" s="4">
        <f t="shared" si="0"/>
        <v>7176.981</v>
      </c>
      <c r="I20" s="3">
        <v>10252.83</v>
      </c>
      <c r="J20">
        <v>0</v>
      </c>
      <c r="K20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</dc:creator>
  <cp:lastModifiedBy>Alejandro Zalazar</cp:lastModifiedBy>
  <dcterms:created xsi:type="dcterms:W3CDTF">2018-11-21T17:52:00Z</dcterms:created>
  <dcterms:modified xsi:type="dcterms:W3CDTF">2026-02-02T23:34:45Z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FB1B98DF18EA4090AC162A06D12E04E8</vt:lpwstr>
  </property>
  <property fmtid="{D5CDD505-2E9C-101B-9397-08002B2CF9AE}" pid="3" name="KSOProductBuildVer">
    <vt:lpwstr>1033-12.2.0.23196</vt:lpwstr>
  </property>
</Properties>
</file>